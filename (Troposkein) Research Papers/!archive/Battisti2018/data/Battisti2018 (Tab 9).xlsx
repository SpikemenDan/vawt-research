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io\Downloads\Productive files\College\Semester 5\Research\vawt-research\(Troposkein) Research Papers\!archive\Battisti2018\data\"/>
    </mc:Choice>
  </mc:AlternateContent>
  <xr:revisionPtr revIDLastSave="0" documentId="13_ncr:1_{DD384CF4-668D-47B8-A599-538BCB4A7283}" xr6:coauthVersionLast="47" xr6:coauthVersionMax="47" xr10:uidLastSave="{00000000-0000-0000-0000-000000000000}"/>
  <bookViews>
    <workbookView xWindow="-108" yWindow="-108" windowWidth="23256" windowHeight="12456" xr2:uid="{CED2EDA0-1490-42EA-B14C-F49B1B9FD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" i="1"/>
</calcChain>
</file>

<file path=xl/sharedStrings.xml><?xml version="1.0" encoding="utf-8"?>
<sst xmlns="http://schemas.openxmlformats.org/spreadsheetml/2006/main" count="20" uniqueCount="20">
  <si>
    <t>V0 [m/s]</t>
  </si>
  <si>
    <t>uV0[95%] [m/s]</t>
  </si>
  <si>
    <t>T [°C]</t>
  </si>
  <si>
    <t>uT[95%] [°C]</t>
  </si>
  <si>
    <t>ρ [kg/m³]</t>
  </si>
  <si>
    <t>uρ[95%] [kg/m³]</t>
  </si>
  <si>
    <t>Ωn [rpm]</t>
  </si>
  <si>
    <t>Ωm [rpm]</t>
  </si>
  <si>
    <t>uΩm[95%] [rpm]</t>
  </si>
  <si>
    <t>Qaero [Nm]</t>
  </si>
  <si>
    <t>uQ[95%] [Nm]</t>
  </si>
  <si>
    <t>TX [N]</t>
  </si>
  <si>
    <t>uTX[95%] [N]</t>
  </si>
  <si>
    <t>TY [N]</t>
  </si>
  <si>
    <t>uTY[95%] [N]</t>
  </si>
  <si>
    <t>Re+ [-]</t>
  </si>
  <si>
    <t>Re- [-]</t>
  </si>
  <si>
    <t>Re_D</t>
  </si>
  <si>
    <t>TSR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</si>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</sst>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AEA8-C7DB-4ABA-9715-E83D9FC8E102}">
  <dimension ref="A1:U22"/>
  <sheetViews>
    <sheetView tabSelected="1" workbookViewId="0">
      <selection activeCell="S1" sqref="S1:U2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18</v>
      </c>
      <c r="T1" t="s">
        <v>19</v>
      </c>
      <c r="U1" t="s">
        <v>17</v>
      </c>
    </row>
    <row r="2" spans="1:21" x14ac:dyDescent="0.3">
      <c r="A2">
        <v>3.15</v>
      </c>
      <c r="B2">
        <v>0.12</v>
      </c>
      <c r="C2">
        <v>23.6</v>
      </c>
      <c r="D2">
        <v>0.12</v>
      </c>
      <c r="E2">
        <v>1.171</v>
      </c>
      <c r="F2">
        <v>1.8E-3</v>
      </c>
      <c r="G2">
        <v>400</v>
      </c>
      <c r="H2">
        <v>398.8</v>
      </c>
      <c r="I2">
        <v>0.05</v>
      </c>
      <c r="J2">
        <v>-1.56</v>
      </c>
      <c r="K2">
        <v>0.18</v>
      </c>
      <c r="L2">
        <v>5.99</v>
      </c>
      <c r="M2">
        <v>0.56000000000000005</v>
      </c>
      <c r="N2">
        <v>-1.19</v>
      </c>
      <c r="O2">
        <v>1.1399999999999999</v>
      </c>
      <c r="P2" s="1">
        <v>190000</v>
      </c>
      <c r="Q2" s="1">
        <v>150000</v>
      </c>
      <c r="S2">
        <f>(H2 * (2 * PI() / 60) * 0.755) / A2</f>
        <v>10.00967934857106</v>
      </c>
      <c r="T2">
        <f>(J2 * (H2 * (2 * PI() / 60))) / (0.5 * E2 * 1.5 * (A2^3))</f>
        <v>-2.3733322798208079</v>
      </c>
      <c r="U2" s="1">
        <f>AVERAGE(P2,Q2)</f>
        <v>170000</v>
      </c>
    </row>
    <row r="3" spans="1:21" x14ac:dyDescent="0.3">
      <c r="A3">
        <v>4.1500000000000004</v>
      </c>
      <c r="B3">
        <v>0.12</v>
      </c>
      <c r="C3">
        <v>22.6</v>
      </c>
      <c r="D3">
        <v>0.12</v>
      </c>
      <c r="E3">
        <v>1.175</v>
      </c>
      <c r="F3">
        <v>1.8E-3</v>
      </c>
      <c r="G3">
        <v>400</v>
      </c>
      <c r="H3">
        <v>398.92</v>
      </c>
      <c r="I3">
        <v>0.13</v>
      </c>
      <c r="J3">
        <v>-1.37</v>
      </c>
      <c r="K3">
        <v>0.18</v>
      </c>
      <c r="L3">
        <v>9.2100000000000009</v>
      </c>
      <c r="M3">
        <v>0.61</v>
      </c>
      <c r="N3">
        <v>-1.19</v>
      </c>
      <c r="O3">
        <v>1.1299999999999999</v>
      </c>
      <c r="P3" s="1">
        <v>190000</v>
      </c>
      <c r="Q3" s="1">
        <v>150000</v>
      </c>
      <c r="S3">
        <f t="shared" ref="S3:S22" si="0">(H3 * (2 * PI() / 60) * 0.755) / A3</f>
        <v>7.5999945922440197</v>
      </c>
      <c r="T3">
        <f t="shared" ref="T3:T22" si="1">(J3 * (H3 * (2 * PI() / 60))) / (0.5 * E3 * 1.5 * (A3^3))</f>
        <v>-0.90863942259744257</v>
      </c>
      <c r="U3" s="1">
        <f>AVERAGE(P3,Q3)</f>
        <v>170000</v>
      </c>
    </row>
    <row r="4" spans="1:21" x14ac:dyDescent="0.3">
      <c r="A4">
        <v>5.13</v>
      </c>
      <c r="B4">
        <v>0.12</v>
      </c>
      <c r="C4">
        <v>22.13</v>
      </c>
      <c r="D4">
        <v>0.12</v>
      </c>
      <c r="E4">
        <v>1.177</v>
      </c>
      <c r="F4">
        <v>1.8E-3</v>
      </c>
      <c r="G4">
        <v>400</v>
      </c>
      <c r="H4">
        <v>399.09</v>
      </c>
      <c r="I4">
        <v>0.08</v>
      </c>
      <c r="J4">
        <v>-0.95</v>
      </c>
      <c r="K4">
        <v>0.18</v>
      </c>
      <c r="L4">
        <v>14.48</v>
      </c>
      <c r="M4">
        <v>0.6</v>
      </c>
      <c r="N4">
        <v>0.09</v>
      </c>
      <c r="O4">
        <v>1.1299999999999999</v>
      </c>
      <c r="P4" s="1">
        <v>200000</v>
      </c>
      <c r="Q4" s="1">
        <v>140000</v>
      </c>
      <c r="S4">
        <f t="shared" si="0"/>
        <v>6.1507638086515168</v>
      </c>
      <c r="T4">
        <f t="shared" si="1"/>
        <v>-0.33314496006590477</v>
      </c>
      <c r="U4" s="1">
        <f>AVERAGE(P4,Q4)</f>
        <v>170000</v>
      </c>
    </row>
    <row r="5" spans="1:21" x14ac:dyDescent="0.3">
      <c r="A5">
        <v>6.2</v>
      </c>
      <c r="B5">
        <v>0.12</v>
      </c>
      <c r="C5">
        <v>21.6</v>
      </c>
      <c r="D5">
        <v>0.12</v>
      </c>
      <c r="E5">
        <v>1.179</v>
      </c>
      <c r="F5">
        <v>1.8E-3</v>
      </c>
      <c r="G5">
        <v>400</v>
      </c>
      <c r="H5">
        <v>399.56</v>
      </c>
      <c r="I5">
        <v>0.08</v>
      </c>
      <c r="J5">
        <v>-0.15</v>
      </c>
      <c r="K5">
        <v>0.18</v>
      </c>
      <c r="L5">
        <v>22.85</v>
      </c>
      <c r="M5">
        <v>0.65</v>
      </c>
      <c r="N5">
        <v>1.74</v>
      </c>
      <c r="O5">
        <v>1.1299999999999999</v>
      </c>
      <c r="P5" s="1">
        <v>200000</v>
      </c>
      <c r="Q5" s="1">
        <v>140000</v>
      </c>
      <c r="S5">
        <f t="shared" si="0"/>
        <v>5.0952545392720161</v>
      </c>
      <c r="T5">
        <f t="shared" si="1"/>
        <v>-2.9781854977584472E-2</v>
      </c>
      <c r="U5" s="1">
        <f>AVERAGE(P5,Q5)</f>
        <v>170000</v>
      </c>
    </row>
    <row r="6" spans="1:21" x14ac:dyDescent="0.3">
      <c r="A6">
        <v>7.3</v>
      </c>
      <c r="B6">
        <v>0.12</v>
      </c>
      <c r="C6">
        <v>22.2</v>
      </c>
      <c r="D6">
        <v>0.12</v>
      </c>
      <c r="E6">
        <v>1.177</v>
      </c>
      <c r="F6">
        <v>1.8E-3</v>
      </c>
      <c r="G6">
        <v>400</v>
      </c>
      <c r="H6">
        <v>399.94</v>
      </c>
      <c r="I6">
        <v>7.0000000000000007E-2</v>
      </c>
      <c r="J6">
        <v>1.46</v>
      </c>
      <c r="K6">
        <v>0.18</v>
      </c>
      <c r="L6">
        <v>34.159999999999997</v>
      </c>
      <c r="M6">
        <v>0.79</v>
      </c>
      <c r="N6">
        <v>-0.38</v>
      </c>
      <c r="O6">
        <v>1.1299999999999999</v>
      </c>
      <c r="P6" s="1">
        <v>210000</v>
      </c>
      <c r="Q6" s="1">
        <v>130000</v>
      </c>
      <c r="S6">
        <f t="shared" si="0"/>
        <v>4.3315920878397716</v>
      </c>
      <c r="T6">
        <f t="shared" si="1"/>
        <v>0.17806149256065254</v>
      </c>
      <c r="U6" s="1">
        <f>AVERAGE(P6,Q6)</f>
        <v>170000</v>
      </c>
    </row>
    <row r="7" spans="1:21" x14ac:dyDescent="0.3">
      <c r="A7">
        <v>7.31</v>
      </c>
      <c r="B7">
        <v>0.14000000000000001</v>
      </c>
      <c r="C7">
        <v>22.2</v>
      </c>
      <c r="D7">
        <v>0.12</v>
      </c>
      <c r="E7">
        <v>1.177</v>
      </c>
      <c r="F7">
        <v>1.8E-3</v>
      </c>
      <c r="G7">
        <v>400</v>
      </c>
      <c r="H7">
        <v>399.91</v>
      </c>
      <c r="I7">
        <v>0.05</v>
      </c>
      <c r="J7">
        <v>1.42</v>
      </c>
      <c r="K7">
        <v>0.18</v>
      </c>
      <c r="L7">
        <v>33.69</v>
      </c>
      <c r="M7">
        <v>0.72</v>
      </c>
      <c r="N7">
        <v>-0.23</v>
      </c>
      <c r="O7">
        <v>1.1299999999999999</v>
      </c>
      <c r="P7" s="1">
        <v>210000</v>
      </c>
      <c r="Q7" s="1">
        <v>130000</v>
      </c>
      <c r="S7">
        <f t="shared" si="0"/>
        <v>4.3253420436083267</v>
      </c>
      <c r="T7">
        <f t="shared" si="1"/>
        <v>0.17246039216390324</v>
      </c>
      <c r="U7" s="1">
        <f>AVERAGE(P7,Q7)</f>
        <v>170000</v>
      </c>
    </row>
    <row r="8" spans="1:21" x14ac:dyDescent="0.3">
      <c r="A8">
        <v>8.1999999999999993</v>
      </c>
      <c r="B8">
        <v>0.12</v>
      </c>
      <c r="C8">
        <v>21.16</v>
      </c>
      <c r="D8">
        <v>0.12</v>
      </c>
      <c r="E8">
        <v>1.18</v>
      </c>
      <c r="F8">
        <v>1.8E-3</v>
      </c>
      <c r="G8">
        <v>400</v>
      </c>
      <c r="H8">
        <v>400.95</v>
      </c>
      <c r="I8">
        <v>0.06</v>
      </c>
      <c r="J8">
        <v>3.21</v>
      </c>
      <c r="K8">
        <v>0.18</v>
      </c>
      <c r="L8">
        <v>43.8</v>
      </c>
      <c r="M8">
        <v>0.79</v>
      </c>
      <c r="N8">
        <v>-1.65</v>
      </c>
      <c r="O8">
        <v>1.1299999999999999</v>
      </c>
      <c r="P8" s="1">
        <v>220000</v>
      </c>
      <c r="Q8" s="1">
        <v>130000</v>
      </c>
      <c r="S8">
        <f t="shared" si="0"/>
        <v>3.8659117427435157</v>
      </c>
      <c r="T8">
        <f t="shared" si="1"/>
        <v>0.27620977261299118</v>
      </c>
      <c r="U8" s="1">
        <f>AVERAGE(P8,Q8)</f>
        <v>175000</v>
      </c>
    </row>
    <row r="9" spans="1:21" x14ac:dyDescent="0.3">
      <c r="A9">
        <v>9.19</v>
      </c>
      <c r="B9">
        <v>0.12</v>
      </c>
      <c r="C9">
        <v>20.7</v>
      </c>
      <c r="D9">
        <v>0.12</v>
      </c>
      <c r="E9">
        <v>1.1830000000000001</v>
      </c>
      <c r="F9">
        <v>1.8E-3</v>
      </c>
      <c r="G9">
        <v>400</v>
      </c>
      <c r="H9">
        <v>401.22</v>
      </c>
      <c r="I9">
        <v>0.06</v>
      </c>
      <c r="J9">
        <v>5.42</v>
      </c>
      <c r="K9">
        <v>0.18</v>
      </c>
      <c r="L9">
        <v>56.34</v>
      </c>
      <c r="M9">
        <v>0.86</v>
      </c>
      <c r="N9">
        <v>-2.57</v>
      </c>
      <c r="O9">
        <v>1.1299999999999999</v>
      </c>
      <c r="P9" s="1">
        <v>220000</v>
      </c>
      <c r="Q9" s="1">
        <v>120000</v>
      </c>
      <c r="S9">
        <f t="shared" si="0"/>
        <v>3.4517762146439575</v>
      </c>
      <c r="T9">
        <f t="shared" si="1"/>
        <v>0.33068761957770376</v>
      </c>
      <c r="U9" s="1">
        <f>AVERAGE(P9,Q9)</f>
        <v>170000</v>
      </c>
    </row>
    <row r="10" spans="1:21" x14ac:dyDescent="0.3">
      <c r="A10">
        <v>9.61</v>
      </c>
      <c r="B10">
        <v>0.12</v>
      </c>
      <c r="C10">
        <v>20.8</v>
      </c>
      <c r="D10">
        <v>0.12</v>
      </c>
      <c r="E10">
        <v>1.179</v>
      </c>
      <c r="F10">
        <v>1.8E-3</v>
      </c>
      <c r="G10">
        <v>400</v>
      </c>
      <c r="H10">
        <v>401.2</v>
      </c>
      <c r="I10">
        <v>0.05</v>
      </c>
      <c r="J10">
        <v>6.38</v>
      </c>
      <c r="K10">
        <v>0.19</v>
      </c>
      <c r="L10">
        <v>63.07</v>
      </c>
      <c r="M10">
        <v>0.91</v>
      </c>
      <c r="N10">
        <v>-1.57</v>
      </c>
      <c r="O10">
        <v>1.1299999999999999</v>
      </c>
      <c r="P10" s="1">
        <v>220000</v>
      </c>
      <c r="Q10" s="1">
        <v>120000</v>
      </c>
      <c r="S10">
        <f t="shared" si="0"/>
        <v>3.3007536050234818</v>
      </c>
      <c r="T10">
        <f t="shared" si="1"/>
        <v>0.34155841500283129</v>
      </c>
      <c r="U10" s="1">
        <f>AVERAGE(P10,Q10)</f>
        <v>170000</v>
      </c>
    </row>
    <row r="11" spans="1:21" x14ac:dyDescent="0.3">
      <c r="A11">
        <v>10.17</v>
      </c>
      <c r="B11">
        <v>0.12</v>
      </c>
      <c r="C11">
        <v>21</v>
      </c>
      <c r="D11">
        <v>0.12</v>
      </c>
      <c r="E11">
        <v>1.18</v>
      </c>
      <c r="F11">
        <v>1.8E-3</v>
      </c>
      <c r="G11">
        <v>400</v>
      </c>
      <c r="H11">
        <v>401.11</v>
      </c>
      <c r="I11">
        <v>0.05</v>
      </c>
      <c r="J11">
        <v>7.7</v>
      </c>
      <c r="K11">
        <v>0.19</v>
      </c>
      <c r="L11">
        <v>67.62</v>
      </c>
      <c r="M11">
        <v>0.94</v>
      </c>
      <c r="N11">
        <v>-2.92</v>
      </c>
      <c r="O11">
        <v>1.1299999999999999</v>
      </c>
      <c r="P11" s="1">
        <v>230000</v>
      </c>
      <c r="Q11" s="1">
        <v>120000</v>
      </c>
      <c r="S11">
        <f t="shared" si="0"/>
        <v>3.1183015178874411</v>
      </c>
      <c r="T11">
        <f t="shared" si="1"/>
        <v>0.34743750938494766</v>
      </c>
      <c r="U11" s="1">
        <f>AVERAGE(P11,Q11)</f>
        <v>175000</v>
      </c>
    </row>
    <row r="12" spans="1:21" x14ac:dyDescent="0.3">
      <c r="A12">
        <v>10.48</v>
      </c>
      <c r="B12">
        <v>0.12</v>
      </c>
      <c r="C12">
        <v>20.5</v>
      </c>
      <c r="D12">
        <v>0.12</v>
      </c>
      <c r="E12">
        <v>1.1839999999999999</v>
      </c>
      <c r="F12">
        <v>1.8E-3</v>
      </c>
      <c r="G12">
        <v>400</v>
      </c>
      <c r="H12">
        <v>401.04</v>
      </c>
      <c r="I12">
        <v>0.05</v>
      </c>
      <c r="J12">
        <v>8.3800000000000008</v>
      </c>
      <c r="K12">
        <v>0.19</v>
      </c>
      <c r="L12">
        <v>71.78</v>
      </c>
      <c r="M12">
        <v>0.96</v>
      </c>
      <c r="N12">
        <v>-2.2999999999999998</v>
      </c>
      <c r="O12">
        <v>1.1399999999999999</v>
      </c>
      <c r="P12" s="1">
        <v>230000</v>
      </c>
      <c r="Q12" s="1">
        <v>110000</v>
      </c>
      <c r="S12">
        <f t="shared" si="0"/>
        <v>3.025533587581795</v>
      </c>
      <c r="T12">
        <f t="shared" si="1"/>
        <v>0.34432100279783528</v>
      </c>
      <c r="U12" s="1">
        <f>AVERAGE(P12,Q12)</f>
        <v>170000</v>
      </c>
    </row>
    <row r="13" spans="1:21" x14ac:dyDescent="0.3">
      <c r="A13">
        <v>11.08</v>
      </c>
      <c r="B13">
        <v>0.12</v>
      </c>
      <c r="C13">
        <v>20.7</v>
      </c>
      <c r="D13">
        <v>0.12</v>
      </c>
      <c r="E13">
        <v>1.1819999999999999</v>
      </c>
      <c r="F13">
        <v>1.8E-3</v>
      </c>
      <c r="G13">
        <v>400</v>
      </c>
      <c r="H13">
        <v>400.89</v>
      </c>
      <c r="I13">
        <v>0.06</v>
      </c>
      <c r="J13">
        <v>9.58</v>
      </c>
      <c r="K13">
        <v>0.2</v>
      </c>
      <c r="L13">
        <v>75.849999999999994</v>
      </c>
      <c r="M13">
        <v>1.1599999999999999</v>
      </c>
      <c r="N13">
        <v>-3.84</v>
      </c>
      <c r="O13">
        <v>1.1399999999999999</v>
      </c>
      <c r="P13" s="1">
        <v>230000</v>
      </c>
      <c r="Q13" s="1">
        <v>110000</v>
      </c>
      <c r="S13">
        <f t="shared" si="0"/>
        <v>2.8606256755947568</v>
      </c>
      <c r="T13">
        <f t="shared" si="1"/>
        <v>0.33351957527960996</v>
      </c>
      <c r="U13" s="1">
        <f>AVERAGE(P13,Q13)</f>
        <v>170000</v>
      </c>
    </row>
    <row r="14" spans="1:21" x14ac:dyDescent="0.3">
      <c r="A14">
        <v>12.12</v>
      </c>
      <c r="B14">
        <v>0.12</v>
      </c>
      <c r="C14">
        <v>20.7</v>
      </c>
      <c r="D14">
        <v>0.12</v>
      </c>
      <c r="E14">
        <v>1.1830000000000001</v>
      </c>
      <c r="F14">
        <v>1.8E-3</v>
      </c>
      <c r="G14">
        <v>400</v>
      </c>
      <c r="H14">
        <v>400.77</v>
      </c>
      <c r="I14">
        <v>0.06</v>
      </c>
      <c r="J14">
        <v>10.44</v>
      </c>
      <c r="K14">
        <v>0.18</v>
      </c>
      <c r="L14">
        <v>83.51</v>
      </c>
      <c r="M14">
        <v>1.05</v>
      </c>
      <c r="N14">
        <v>-5.84</v>
      </c>
      <c r="O14">
        <v>1.1299999999999999</v>
      </c>
      <c r="P14" s="1">
        <v>240000</v>
      </c>
      <c r="Q14" s="1">
        <v>110000</v>
      </c>
      <c r="S14">
        <f t="shared" si="0"/>
        <v>2.6143766399155166</v>
      </c>
      <c r="T14">
        <f t="shared" si="1"/>
        <v>0.27737700447792102</v>
      </c>
      <c r="U14" s="1">
        <f>AVERAGE(P14,Q14)</f>
        <v>175000</v>
      </c>
    </row>
    <row r="15" spans="1:21" x14ac:dyDescent="0.3">
      <c r="A15">
        <v>13.33</v>
      </c>
      <c r="B15">
        <v>0.12</v>
      </c>
      <c r="C15">
        <v>20.7</v>
      </c>
      <c r="D15">
        <v>0.12</v>
      </c>
      <c r="E15">
        <v>1.1830000000000001</v>
      </c>
      <c r="F15">
        <v>1.8E-3</v>
      </c>
      <c r="G15">
        <v>400</v>
      </c>
      <c r="H15">
        <v>400.85</v>
      </c>
      <c r="I15">
        <v>7.0000000000000007E-2</v>
      </c>
      <c r="J15">
        <v>9.5399999999999991</v>
      </c>
      <c r="K15">
        <v>0.19</v>
      </c>
      <c r="L15">
        <v>89.96</v>
      </c>
      <c r="M15">
        <v>1.1399999999999999</v>
      </c>
      <c r="N15">
        <v>-10.94</v>
      </c>
      <c r="O15">
        <v>1.1499999999999999</v>
      </c>
      <c r="P15" s="1">
        <v>240000</v>
      </c>
      <c r="Q15" s="1">
        <v>99000</v>
      </c>
      <c r="S15">
        <f t="shared" si="0"/>
        <v>2.3775371304565112</v>
      </c>
      <c r="T15">
        <f t="shared" si="1"/>
        <v>0.19055591070159192</v>
      </c>
      <c r="U15" s="1">
        <f>AVERAGE(P15,Q15)</f>
        <v>169500</v>
      </c>
    </row>
    <row r="16" spans="1:21" x14ac:dyDescent="0.3">
      <c r="A16">
        <v>14.21</v>
      </c>
      <c r="B16">
        <v>0.12</v>
      </c>
      <c r="C16">
        <v>20.8</v>
      </c>
      <c r="D16">
        <v>0.12</v>
      </c>
      <c r="E16">
        <v>1.18</v>
      </c>
      <c r="F16">
        <v>1.8E-3</v>
      </c>
      <c r="G16">
        <v>400</v>
      </c>
      <c r="H16">
        <v>400.86</v>
      </c>
      <c r="I16">
        <v>0.09</v>
      </c>
      <c r="J16">
        <v>9.39</v>
      </c>
      <c r="K16">
        <v>0.18</v>
      </c>
      <c r="L16">
        <v>95.9</v>
      </c>
      <c r="M16">
        <v>1.1399999999999999</v>
      </c>
      <c r="N16">
        <v>-13.84</v>
      </c>
      <c r="O16">
        <v>1.1399999999999999</v>
      </c>
      <c r="P16" s="1">
        <v>250000</v>
      </c>
      <c r="Q16" s="1">
        <v>95000</v>
      </c>
      <c r="S16">
        <f t="shared" si="0"/>
        <v>2.2303561282995386</v>
      </c>
      <c r="T16">
        <f t="shared" si="1"/>
        <v>0.15522491399780153</v>
      </c>
      <c r="U16" s="1">
        <f>AVERAGE(P16,Q16)</f>
        <v>172500</v>
      </c>
    </row>
    <row r="17" spans="1:21" x14ac:dyDescent="0.3">
      <c r="A17">
        <v>15.15</v>
      </c>
      <c r="B17">
        <v>0.12</v>
      </c>
      <c r="C17">
        <v>20.7</v>
      </c>
      <c r="D17">
        <v>0.12</v>
      </c>
      <c r="E17">
        <v>1.1830000000000001</v>
      </c>
      <c r="F17">
        <v>1.8E-3</v>
      </c>
      <c r="G17">
        <v>400</v>
      </c>
      <c r="H17">
        <v>401.03</v>
      </c>
      <c r="I17">
        <v>0.42</v>
      </c>
      <c r="J17">
        <v>8.7799999999999994</v>
      </c>
      <c r="K17">
        <v>0.25</v>
      </c>
      <c r="L17">
        <v>103.07</v>
      </c>
      <c r="M17">
        <v>1.23</v>
      </c>
      <c r="N17">
        <v>-19.260000000000002</v>
      </c>
      <c r="O17">
        <v>1.38</v>
      </c>
      <c r="P17" s="1">
        <v>250000</v>
      </c>
      <c r="Q17" s="1">
        <v>90000</v>
      </c>
      <c r="S17">
        <f t="shared" si="0"/>
        <v>2.0928581758221818</v>
      </c>
      <c r="T17">
        <f t="shared" si="1"/>
        <v>0.11951325908247365</v>
      </c>
      <c r="U17" s="1">
        <f>AVERAGE(P17,Q17)</f>
        <v>170000</v>
      </c>
    </row>
    <row r="18" spans="1:21" x14ac:dyDescent="0.3">
      <c r="A18">
        <v>15.97</v>
      </c>
      <c r="B18">
        <v>0.12</v>
      </c>
      <c r="C18">
        <v>20.7</v>
      </c>
      <c r="D18">
        <v>0.12</v>
      </c>
      <c r="E18">
        <v>1.1830000000000001</v>
      </c>
      <c r="F18">
        <v>1.8E-3</v>
      </c>
      <c r="G18">
        <v>400</v>
      </c>
      <c r="H18">
        <v>401.04</v>
      </c>
      <c r="I18">
        <v>0.08</v>
      </c>
      <c r="J18">
        <v>7.92</v>
      </c>
      <c r="K18">
        <v>0.18</v>
      </c>
      <c r="L18">
        <v>108.62</v>
      </c>
      <c r="M18">
        <v>1.21</v>
      </c>
      <c r="N18">
        <v>-24.52</v>
      </c>
      <c r="O18">
        <v>1.1399999999999999</v>
      </c>
      <c r="P18" s="1">
        <v>260000</v>
      </c>
      <c r="Q18" s="1">
        <v>85000</v>
      </c>
      <c r="S18">
        <f t="shared" si="0"/>
        <v>1.985447213391184</v>
      </c>
      <c r="T18">
        <f t="shared" si="1"/>
        <v>9.2040874159441677E-2</v>
      </c>
      <c r="U18" s="1">
        <f>AVERAGE(P18,Q18)</f>
        <v>172500</v>
      </c>
    </row>
    <row r="19" spans="1:21" x14ac:dyDescent="0.3">
      <c r="A19">
        <v>17.02</v>
      </c>
      <c r="B19">
        <v>0.14000000000000001</v>
      </c>
      <c r="C19">
        <v>20.7</v>
      </c>
      <c r="D19">
        <v>0.12</v>
      </c>
      <c r="E19">
        <v>1.18</v>
      </c>
      <c r="F19">
        <v>1.8E-3</v>
      </c>
      <c r="G19">
        <v>400</v>
      </c>
      <c r="H19">
        <v>401.09</v>
      </c>
      <c r="I19">
        <v>0.49</v>
      </c>
      <c r="J19">
        <v>7.78</v>
      </c>
      <c r="K19">
        <v>0.18</v>
      </c>
      <c r="L19">
        <v>115.1</v>
      </c>
      <c r="M19">
        <v>3.23</v>
      </c>
      <c r="N19">
        <v>-27.8</v>
      </c>
      <c r="O19">
        <v>1.84</v>
      </c>
      <c r="P19" s="1">
        <v>260000</v>
      </c>
      <c r="Q19" s="1">
        <v>79000</v>
      </c>
      <c r="S19">
        <f t="shared" si="0"/>
        <v>1.8631930181323721</v>
      </c>
      <c r="T19">
        <f t="shared" si="1"/>
        <v>7.4890738169174895E-2</v>
      </c>
      <c r="U19" s="1">
        <f>AVERAGE(P19,Q19)</f>
        <v>169500</v>
      </c>
    </row>
    <row r="20" spans="1:21" x14ac:dyDescent="0.3">
      <c r="A20">
        <v>17.93</v>
      </c>
      <c r="B20">
        <v>0.12</v>
      </c>
      <c r="C20">
        <v>20.7</v>
      </c>
      <c r="D20">
        <v>0.12</v>
      </c>
      <c r="E20">
        <v>1.18</v>
      </c>
      <c r="F20">
        <v>1.8E-3</v>
      </c>
      <c r="G20">
        <v>400</v>
      </c>
      <c r="H20">
        <v>401.06</v>
      </c>
      <c r="I20">
        <v>0.06</v>
      </c>
      <c r="J20">
        <v>7.76</v>
      </c>
      <c r="K20">
        <v>0.18</v>
      </c>
      <c r="L20">
        <v>121.48</v>
      </c>
      <c r="M20">
        <v>1.3</v>
      </c>
      <c r="N20">
        <v>-30.02</v>
      </c>
      <c r="O20">
        <v>1.1399999999999999</v>
      </c>
      <c r="P20" s="1">
        <v>270000</v>
      </c>
      <c r="Q20" s="1">
        <v>75000</v>
      </c>
      <c r="S20">
        <f t="shared" si="0"/>
        <v>1.7684982301260186</v>
      </c>
      <c r="T20">
        <f t="shared" si="1"/>
        <v>6.3887449301588614E-2</v>
      </c>
      <c r="U20" s="1">
        <f>AVERAGE(P20,Q20)</f>
        <v>172500</v>
      </c>
    </row>
    <row r="21" spans="1:21" x14ac:dyDescent="0.3">
      <c r="A21">
        <v>18.96</v>
      </c>
      <c r="B21">
        <v>0.12</v>
      </c>
      <c r="C21">
        <v>20.7</v>
      </c>
      <c r="D21">
        <v>0.12</v>
      </c>
      <c r="E21">
        <v>1.18</v>
      </c>
      <c r="F21">
        <v>1.8E-3</v>
      </c>
      <c r="G21">
        <v>400</v>
      </c>
      <c r="H21">
        <v>400.99</v>
      </c>
      <c r="I21">
        <v>0.13</v>
      </c>
      <c r="J21">
        <v>7.8</v>
      </c>
      <c r="K21">
        <v>0.19</v>
      </c>
      <c r="L21">
        <v>130.16</v>
      </c>
      <c r="M21">
        <v>1.37</v>
      </c>
      <c r="N21">
        <v>-32.79</v>
      </c>
      <c r="O21">
        <v>1.1499999999999999</v>
      </c>
      <c r="P21" s="1">
        <v>270000</v>
      </c>
      <c r="Q21" s="1">
        <v>69000</v>
      </c>
      <c r="S21">
        <f t="shared" si="0"/>
        <v>1.6721328495306667</v>
      </c>
      <c r="T21">
        <f t="shared" si="1"/>
        <v>5.429983290603705E-2</v>
      </c>
      <c r="U21" s="1">
        <f>AVERAGE(P21,Q21)</f>
        <v>169500</v>
      </c>
    </row>
    <row r="22" spans="1:21" x14ac:dyDescent="0.3">
      <c r="A22">
        <v>20.010000000000002</v>
      </c>
      <c r="B22">
        <v>0.12</v>
      </c>
      <c r="C22">
        <v>20.7</v>
      </c>
      <c r="D22">
        <v>0.12</v>
      </c>
      <c r="E22">
        <v>1.18</v>
      </c>
      <c r="F22">
        <v>1.8E-3</v>
      </c>
      <c r="G22">
        <v>400</v>
      </c>
      <c r="H22">
        <v>401.02</v>
      </c>
      <c r="I22">
        <v>0.06</v>
      </c>
      <c r="J22">
        <v>7.86</v>
      </c>
      <c r="K22">
        <v>0.18</v>
      </c>
      <c r="L22">
        <v>139.72</v>
      </c>
      <c r="M22">
        <v>1.44</v>
      </c>
      <c r="N22">
        <v>-36.36</v>
      </c>
      <c r="O22">
        <v>1.1599999999999999</v>
      </c>
      <c r="P22" s="1">
        <v>280000</v>
      </c>
      <c r="Q22" s="1">
        <v>63000</v>
      </c>
      <c r="S22">
        <f t="shared" si="0"/>
        <v>1.5845082823365766</v>
      </c>
      <c r="T22">
        <f t="shared" si="1"/>
        <v>4.6551390722937187E-2</v>
      </c>
      <c r="U22" s="1">
        <f>AVERAGE(P22,Q22)</f>
        <v>171500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Aarion King Joseph</dc:creator>
  <cp:lastModifiedBy>Aarion King Joseph</cp:lastModifiedBy>
  <dcterms:created xsi:type="dcterms:W3CDTF">2026-10-25T18:21:45Z</dcterms:created>
  <dcterms:modified xsi:type="dcterms:W3CDTF">2026-10-25T18:28:35Z</dcterms:modified>
</cp:coreProperties>
</file>